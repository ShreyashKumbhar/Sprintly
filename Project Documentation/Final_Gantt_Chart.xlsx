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642BC40F-A1FF-4F85-A247-7404591EA40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ctual" sheetId="11" r:id="rId1"/>
    <sheet name="Planned" sheetId="13" r:id="rId2"/>
  </sheets>
  <definedNames>
    <definedName name="_xlnm.Print_Area" localSheetId="0">Actual!$1:$29</definedName>
    <definedName name="_xlnm.Print_Area" localSheetId="1">Planned!$1:$29</definedName>
    <definedName name="_xlnm.Print_Titles" localSheetId="0">Actual!$4:$6</definedName>
    <definedName name="_xlnm.Print_Titles" localSheetId="1">Planned!$4:$6</definedName>
    <definedName name="task_end" localSheetId="0">Actual!$F1</definedName>
    <definedName name="task_end" localSheetId="1">Planned!$F1</definedName>
    <definedName name="task_progress" localSheetId="0">Actual!$D1</definedName>
    <definedName name="task_progress" localSheetId="1">Planned!$D1</definedName>
    <definedName name="task_start" localSheetId="0">Actual!$E1</definedName>
    <definedName name="task_start" localSheetId="1">Planned!$E1</definedName>
    <definedName name="today" localSheetId="0">Actual!$E$3</definedName>
    <definedName name="today" localSheetId="1">Planned!$E$3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9" i="13" l="1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J6" i="13"/>
  <c r="I6" i="13"/>
  <c r="I5" i="13"/>
  <c r="J5" i="13" s="1"/>
  <c r="K5" i="13" s="1"/>
  <c r="L5" i="13" s="1"/>
  <c r="M5" i="13" s="1"/>
  <c r="I4" i="13"/>
  <c r="J1" i="13"/>
  <c r="N5" i="13" l="1"/>
  <c r="M6" i="13"/>
  <c r="K6" i="13"/>
  <c r="L6" i="13"/>
  <c r="H20" i="11"/>
  <c r="J1" i="11"/>
  <c r="O5" i="13" l="1"/>
  <c r="N6" i="13"/>
  <c r="H29" i="11"/>
  <c r="H28" i="11"/>
  <c r="H27" i="11"/>
  <c r="H26" i="11"/>
  <c r="H25" i="11"/>
  <c r="H24" i="11"/>
  <c r="H23" i="11"/>
  <c r="H22" i="11"/>
  <c r="H21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P5" i="13" l="1"/>
  <c r="O6" i="13"/>
  <c r="I5" i="11"/>
  <c r="P6" i="13" l="1"/>
  <c r="Q5" i="13"/>
  <c r="P4" i="13"/>
  <c r="I6" i="11"/>
  <c r="Q6" i="13" l="1"/>
  <c r="R5" i="13"/>
  <c r="J5" i="11"/>
  <c r="K5" i="11" s="1"/>
  <c r="L5" i="11" s="1"/>
  <c r="M5" i="11" s="1"/>
  <c r="N5" i="11" s="1"/>
  <c r="O5" i="11" s="1"/>
  <c r="P5" i="11" s="1"/>
  <c r="I4" i="11"/>
  <c r="R6" i="13" l="1"/>
  <c r="S5" i="13"/>
  <c r="P4" i="11"/>
  <c r="Q5" i="11"/>
  <c r="R5" i="11" s="1"/>
  <c r="S5" i="11" s="1"/>
  <c r="T5" i="11" s="1"/>
  <c r="U5" i="11" s="1"/>
  <c r="V5" i="11" s="1"/>
  <c r="W5" i="11" s="1"/>
  <c r="J6" i="11"/>
  <c r="S6" i="13" l="1"/>
  <c r="T5" i="13"/>
  <c r="W4" i="11"/>
  <c r="X5" i="11"/>
  <c r="Y5" i="11" s="1"/>
  <c r="Z5" i="11" s="1"/>
  <c r="AA5" i="11" s="1"/>
  <c r="AB5" i="11" s="1"/>
  <c r="AC5" i="11" s="1"/>
  <c r="AD5" i="11" s="1"/>
  <c r="K6" i="11"/>
  <c r="T6" i="13" l="1"/>
  <c r="U5" i="13"/>
  <c r="AE5" i="11"/>
  <c r="AF5" i="11" s="1"/>
  <c r="AG5" i="11" s="1"/>
  <c r="AH5" i="11" s="1"/>
  <c r="AI5" i="11" s="1"/>
  <c r="AJ5" i="11" s="1"/>
  <c r="AD4" i="11"/>
  <c r="L6" i="11"/>
  <c r="U6" i="13" l="1"/>
  <c r="V5" i="13"/>
  <c r="AK5" i="11"/>
  <c r="AL5" i="11" s="1"/>
  <c r="AM5" i="11" s="1"/>
  <c r="AN5" i="11" s="1"/>
  <c r="AO5" i="11" s="1"/>
  <c r="AP5" i="11" s="1"/>
  <c r="AQ5" i="11" s="1"/>
  <c r="M6" i="11"/>
  <c r="V6" i="13" l="1"/>
  <c r="W5" i="13"/>
  <c r="AR5" i="11"/>
  <c r="AS5" i="11" s="1"/>
  <c r="AK4" i="11"/>
  <c r="N6" i="11"/>
  <c r="W6" i="13" l="1"/>
  <c r="X5" i="13"/>
  <c r="W4" i="13"/>
  <c r="AT5" i="11"/>
  <c r="AS6" i="11"/>
  <c r="AR4" i="11"/>
  <c r="O6" i="11"/>
  <c r="X6" i="13" l="1"/>
  <c r="Y5" i="13"/>
  <c r="AU5" i="11"/>
  <c r="AT6" i="11"/>
  <c r="Z5" i="13" l="1"/>
  <c r="Y6" i="13"/>
  <c r="AV5" i="11"/>
  <c r="AU6" i="11"/>
  <c r="P6" i="11"/>
  <c r="Q6" i="11"/>
  <c r="AA5" i="13" l="1"/>
  <c r="Z6" i="13"/>
  <c r="AW5" i="11"/>
  <c r="AV6" i="11"/>
  <c r="R6" i="11"/>
  <c r="AB5" i="13" l="1"/>
  <c r="AA6" i="13"/>
  <c r="AX5" i="11"/>
  <c r="AY5" i="11" s="1"/>
  <c r="AW6" i="11"/>
  <c r="S6" i="11"/>
  <c r="AC5" i="13" l="1"/>
  <c r="AB6" i="13"/>
  <c r="AY6" i="11"/>
  <c r="AZ5" i="11"/>
  <c r="AY4" i="11"/>
  <c r="AX6" i="11"/>
  <c r="T6" i="11"/>
  <c r="AD5" i="13" l="1"/>
  <c r="AC6" i="13"/>
  <c r="BA5" i="11"/>
  <c r="AZ6" i="11"/>
  <c r="U6" i="11"/>
  <c r="AE5" i="13" l="1"/>
  <c r="AD6" i="13"/>
  <c r="AD4" i="13"/>
  <c r="BA6" i="11"/>
  <c r="BB5" i="11"/>
  <c r="V6" i="11"/>
  <c r="AF5" i="13" l="1"/>
  <c r="AE6" i="13"/>
  <c r="BB6" i="11"/>
  <c r="BC5" i="11"/>
  <c r="W6" i="11"/>
  <c r="AF6" i="13" l="1"/>
  <c r="AG5" i="13"/>
  <c r="BC6" i="11"/>
  <c r="BD5" i="11"/>
  <c r="X6" i="11"/>
  <c r="AG6" i="13" l="1"/>
  <c r="AH5" i="13"/>
  <c r="BE5" i="11"/>
  <c r="BD6" i="11"/>
  <c r="Y6" i="11"/>
  <c r="AH6" i="13" l="1"/>
  <c r="AI5" i="13"/>
  <c r="BE6" i="11"/>
  <c r="BF5" i="11"/>
  <c r="Z6" i="11"/>
  <c r="AI6" i="13" l="1"/>
  <c r="AJ5" i="13"/>
  <c r="BF6" i="11"/>
  <c r="BG5" i="11"/>
  <c r="BF4" i="11"/>
  <c r="AA6" i="11"/>
  <c r="AJ6" i="13" l="1"/>
  <c r="AK5" i="13"/>
  <c r="BG6" i="11"/>
  <c r="BH5" i="11"/>
  <c r="AB6" i="11"/>
  <c r="AK6" i="13" l="1"/>
  <c r="AL5" i="13"/>
  <c r="AK4" i="13"/>
  <c r="BI5" i="11"/>
  <c r="BH6" i="11"/>
  <c r="AC6" i="11"/>
  <c r="AL6" i="13" l="1"/>
  <c r="AM5" i="13"/>
  <c r="BJ5" i="11"/>
  <c r="BI6" i="11"/>
  <c r="AD6" i="11"/>
  <c r="AM6" i="13" l="1"/>
  <c r="AN5" i="13"/>
  <c r="BK5" i="11"/>
  <c r="BJ6" i="11"/>
  <c r="AE6" i="11"/>
  <c r="AN6" i="13" l="1"/>
  <c r="AO5" i="13"/>
  <c r="BL5" i="11"/>
  <c r="BK6" i="11"/>
  <c r="AF6" i="11"/>
  <c r="AP5" i="13" l="1"/>
  <c r="AO6" i="13"/>
  <c r="BL6" i="11"/>
  <c r="AG6" i="11"/>
  <c r="AQ5" i="13" l="1"/>
  <c r="AP6" i="13"/>
  <c r="AH6" i="11"/>
  <c r="AR5" i="13" l="1"/>
  <c r="AQ6" i="13"/>
  <c r="AI6" i="11"/>
  <c r="AS5" i="13" l="1"/>
  <c r="AR4" i="13"/>
  <c r="AR6" i="13"/>
  <c r="AJ6" i="11"/>
  <c r="AT5" i="13" l="1"/>
  <c r="AS6" i="13"/>
  <c r="AK6" i="11"/>
  <c r="AU5" i="13" l="1"/>
  <c r="AT6" i="13"/>
  <c r="AL6" i="11"/>
  <c r="AV5" i="13" l="1"/>
  <c r="AU6" i="13"/>
  <c r="AM6" i="11"/>
  <c r="AV6" i="13" l="1"/>
  <c r="AW5" i="13"/>
  <c r="AN6" i="11"/>
  <c r="AW6" i="13" l="1"/>
  <c r="AX5" i="13"/>
  <c r="AO6" i="11"/>
  <c r="AX6" i="13" l="1"/>
  <c r="AY5" i="13"/>
  <c r="AP6" i="11"/>
  <c r="AY6" i="13" l="1"/>
  <c r="AY4" i="13"/>
  <c r="AZ5" i="13"/>
  <c r="AQ6" i="11"/>
  <c r="AZ6" i="13" l="1"/>
  <c r="BA5" i="13"/>
  <c r="AR6" i="11"/>
  <c r="BA6" i="13" l="1"/>
  <c r="BB5" i="13"/>
  <c r="BB6" i="13" l="1"/>
  <c r="BC5" i="13"/>
  <c r="BC6" i="13" l="1"/>
  <c r="BD5" i="13"/>
  <c r="BD6" i="13" l="1"/>
  <c r="BE5" i="13"/>
  <c r="BE6" i="13" l="1"/>
  <c r="BF5" i="13"/>
  <c r="BG5" i="13" l="1"/>
  <c r="BF4" i="13"/>
  <c r="BF6" i="13"/>
  <c r="BH5" i="13" l="1"/>
  <c r="BG6" i="13"/>
  <c r="BI5" i="13" l="1"/>
  <c r="BH6" i="13"/>
  <c r="BJ5" i="13" l="1"/>
  <c r="BI6" i="13"/>
  <c r="BK5" i="13" l="1"/>
  <c r="BJ6" i="13"/>
  <c r="BL5" i="13" l="1"/>
  <c r="BL6" i="13" s="1"/>
  <c r="BK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6" authorId="0" shapeId="0" xr:uid="{D728E8B9-66C3-430A-9987-024B66AC0D4A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<sst xmlns="http://schemas.openxmlformats.org/spreadsheetml/2006/main" count="62" uniqueCount="31">
  <si>
    <t>Project Start:</t>
  </si>
  <si>
    <t>PROGRESS</t>
  </si>
  <si>
    <t>ASSIGNED
TO</t>
  </si>
  <si>
    <t>START</t>
  </si>
  <si>
    <t>END</t>
  </si>
  <si>
    <t>DAYS</t>
  </si>
  <si>
    <t>Display Week:</t>
  </si>
  <si>
    <t>TASK</t>
  </si>
  <si>
    <t>Today:</t>
  </si>
  <si>
    <t>Sprintly</t>
  </si>
  <si>
    <t>SRS</t>
  </si>
  <si>
    <t>BRD</t>
  </si>
  <si>
    <t>Project Charter</t>
  </si>
  <si>
    <t>Initial Project Documentation</t>
  </si>
  <si>
    <t>Planning and Design</t>
  </si>
  <si>
    <t>Database design</t>
  </si>
  <si>
    <t>System architecture Design</t>
  </si>
  <si>
    <t>Backend</t>
  </si>
  <si>
    <t>Frontend</t>
  </si>
  <si>
    <t>Testing and Deployment</t>
  </si>
  <si>
    <t>User Auth APIs</t>
  </si>
  <si>
    <t>Workflow APIs</t>
  </si>
  <si>
    <t>Task CRUD APIs</t>
  </si>
  <si>
    <t>Board UI</t>
  </si>
  <si>
    <t>Dashboard</t>
  </si>
  <si>
    <t>API Integration</t>
  </si>
  <si>
    <t>Role Restrictions</t>
  </si>
  <si>
    <t>Authentication UI</t>
  </si>
  <si>
    <t>System Testing</t>
  </si>
  <si>
    <t>Deployment Setup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</si>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</sst>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;@"/>
    <numFmt numFmtId="165" formatCode="ddd\,\ m/d/yyyy"/>
    <numFmt numFmtId="166" formatCode="mmm\ d\,\ yyyy"/>
    <numFmt numFmtId="167" formatCode="d"/>
  </numFmts>
  <fonts count="17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6"/>
      <color theme="1"/>
      <name val="Calibri"/>
      <family val="2"/>
      <scheme val="minor"/>
    </font>
    <font>
      <u/>
      <sz val="9"/>
      <color theme="4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6" fillId="14" borderId="1" xfId="0" applyFont="1" applyFill="1" applyBorder="1" applyAlignment="1">
      <alignment horizontal="left" vertical="center" indent="1"/>
    </xf>
    <xf numFmtId="0" fontId="6" fillId="14" borderId="1" xfId="0" applyFont="1" applyFill="1" applyBorder="1" applyAlignment="1">
      <alignment horizontal="center" vertical="center" wrapText="1"/>
    </xf>
    <xf numFmtId="167" fontId="10" fillId="7" borderId="0" xfId="0" applyNumberFormat="1" applyFont="1" applyFill="1" applyAlignment="1">
      <alignment horizontal="center" vertical="center"/>
    </xf>
    <xf numFmtId="167" fontId="10" fillId="7" borderId="8" xfId="0" applyNumberFormat="1" applyFont="1" applyFill="1" applyBorder="1" applyAlignment="1">
      <alignment horizontal="center" vertical="center"/>
    </xf>
    <xf numFmtId="167" fontId="10" fillId="7" borderId="9" xfId="0" applyNumberFormat="1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 shrinkToFi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center" vertical="center"/>
    </xf>
    <xf numFmtId="9" fontId="4" fillId="8" borderId="2" xfId="2" applyFon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2"/>
    </xf>
    <xf numFmtId="0" fontId="0" fillId="2" borderId="2" xfId="0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center" vertical="center"/>
    </xf>
    <xf numFmtId="9" fontId="4" fillId="9" borderId="2" xfId="2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2"/>
    </xf>
    <xf numFmtId="0" fontId="0" fillId="3" borderId="2" xfId="0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9" fontId="4" fillId="5" borderId="2" xfId="2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 indent="2"/>
    </xf>
    <xf numFmtId="0" fontId="0" fillId="12" borderId="2" xfId="0" applyFill="1" applyBorder="1" applyAlignment="1">
      <alignment horizontal="center" vertical="center"/>
    </xf>
    <xf numFmtId="9" fontId="4" fillId="12" borderId="2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9" fontId="4" fillId="4" borderId="2" xfId="2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 indent="2"/>
    </xf>
    <xf numFmtId="0" fontId="0" fillId="10" borderId="2" xfId="0" applyFill="1" applyBorder="1" applyAlignment="1">
      <alignment horizontal="center" vertical="center"/>
    </xf>
    <xf numFmtId="9" fontId="4" fillId="10" borderId="2" xfId="2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9" fontId="4" fillId="6" borderId="2" xfId="2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 indent="2"/>
    </xf>
    <xf numFmtId="0" fontId="0" fillId="11" borderId="2" xfId="0" applyFill="1" applyBorder="1" applyAlignment="1">
      <alignment horizontal="center" vertical="center"/>
    </xf>
    <xf numFmtId="9" fontId="4" fillId="11" borderId="2" xfId="2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6" fillId="0" borderId="0" xfId="1" applyFont="1" applyAlignment="1" applyProtection="1">
      <alignment horizontal="left" vertical="center"/>
    </xf>
    <xf numFmtId="166" fontId="0" fillId="7" borderId="6" xfId="0" applyNumberFormat="1" applyFill="1" applyBorder="1" applyAlignment="1">
      <alignment horizontal="left" vertical="center" wrapText="1" indent="1"/>
    </xf>
    <xf numFmtId="166" fontId="0" fillId="7" borderId="1" xfId="0" applyNumberFormat="1" applyFill="1" applyBorder="1" applyAlignment="1">
      <alignment horizontal="left" vertical="center" wrapText="1" indent="1"/>
    </xf>
    <xf numFmtId="166" fontId="0" fillId="7" borderId="7" xfId="0" applyNumberFormat="1" applyFill="1" applyBorder="1" applyAlignment="1">
      <alignment horizontal="left" vertical="center" wrapText="1" indent="1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5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A1:BL30"/>
  <sheetViews>
    <sheetView showGridLines="0" showRuler="0" topLeftCell="B1" zoomScale="88" zoomScaleNormal="100" zoomScalePageLayoutView="70" workbookViewId="0">
      <pane ySplit="6" topLeftCell="A18" activePane="bottomLeft" state="frozen"/>
      <selection pane="bottomLeft" activeCell="AT36" sqref="AT36"/>
    </sheetView>
  </sheetViews>
  <sheetFormatPr defaultRowHeight="14.4" x14ac:dyDescent="0.3"/>
  <cols>
    <col min="1" max="1" width="2.77734375" customWidth="1"/>
    <col min="2" max="2" width="19.88671875" customWidth="1"/>
    <col min="3" max="3" width="9.109375" customWidth="1"/>
    <col min="4" max="4" width="10.77734375" customWidth="1"/>
    <col min="5" max="5" width="10.44140625" style="5" customWidth="1"/>
    <col min="6" max="6" width="10.44140625" customWidth="1"/>
    <col min="7" max="7" width="2.77734375" customWidth="1"/>
    <col min="8" max="8" width="6.109375" hidden="1" customWidth="1"/>
    <col min="9" max="64" width="2.5546875" customWidth="1"/>
    <col min="69" max="70" width="10.21875"/>
  </cols>
  <sheetData>
    <row r="1" spans="1:64" ht="28.8" x14ac:dyDescent="0.55000000000000004">
      <c r="B1" s="16" t="s">
        <v>9</v>
      </c>
      <c r="C1" s="1"/>
      <c r="D1" s="2"/>
      <c r="E1" s="4"/>
      <c r="F1" s="66"/>
      <c r="H1" s="2"/>
      <c r="I1" s="8"/>
      <c r="J1" s="67" t="str">
        <f>HYPERLINK("https://vertex42.link/HowToMakeAGanttChart","► Watch How to Make a Gantt Chart in Excel")</f>
        <v>► Watch How to Make a Gantt Chart in Excel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64" ht="19.5" customHeight="1" x14ac:dyDescent="0.35">
      <c r="B2" s="9"/>
      <c r="D2" s="6" t="s">
        <v>0</v>
      </c>
      <c r="E2" s="71">
        <v>46082</v>
      </c>
      <c r="F2" s="72"/>
    </row>
    <row r="3" spans="1:64" ht="19.5" customHeight="1" x14ac:dyDescent="0.35">
      <c r="B3" s="9"/>
      <c r="D3" s="6" t="s">
        <v>8</v>
      </c>
      <c r="E3" s="71">
        <v>46131</v>
      </c>
      <c r="F3" s="72"/>
    </row>
    <row r="4" spans="1:64" ht="19.5" customHeight="1" x14ac:dyDescent="0.3">
      <c r="D4" s="6" t="s">
        <v>6</v>
      </c>
      <c r="E4" s="7">
        <v>1</v>
      </c>
      <c r="I4" s="68">
        <f>I5</f>
        <v>46083</v>
      </c>
      <c r="J4" s="69"/>
      <c r="K4" s="69"/>
      <c r="L4" s="69"/>
      <c r="M4" s="69"/>
      <c r="N4" s="69"/>
      <c r="O4" s="70"/>
      <c r="P4" s="68">
        <f>P5</f>
        <v>46090</v>
      </c>
      <c r="Q4" s="69"/>
      <c r="R4" s="69"/>
      <c r="S4" s="69"/>
      <c r="T4" s="69"/>
      <c r="U4" s="69"/>
      <c r="V4" s="70"/>
      <c r="W4" s="68">
        <f>W5</f>
        <v>46097</v>
      </c>
      <c r="X4" s="69"/>
      <c r="Y4" s="69"/>
      <c r="Z4" s="69"/>
      <c r="AA4" s="69"/>
      <c r="AB4" s="69"/>
      <c r="AC4" s="70"/>
      <c r="AD4" s="68">
        <f>AD5</f>
        <v>46104</v>
      </c>
      <c r="AE4" s="69"/>
      <c r="AF4" s="69"/>
      <c r="AG4" s="69"/>
      <c r="AH4" s="69"/>
      <c r="AI4" s="69"/>
      <c r="AJ4" s="70"/>
      <c r="AK4" s="68">
        <f>AK5</f>
        <v>46111</v>
      </c>
      <c r="AL4" s="69"/>
      <c r="AM4" s="69"/>
      <c r="AN4" s="69"/>
      <c r="AO4" s="69"/>
      <c r="AP4" s="69"/>
      <c r="AQ4" s="70"/>
      <c r="AR4" s="68">
        <f>AR5</f>
        <v>46118</v>
      </c>
      <c r="AS4" s="69"/>
      <c r="AT4" s="69"/>
      <c r="AU4" s="69"/>
      <c r="AV4" s="69"/>
      <c r="AW4" s="69"/>
      <c r="AX4" s="70"/>
      <c r="AY4" s="68">
        <f>AY5</f>
        <v>46125</v>
      </c>
      <c r="AZ4" s="69"/>
      <c r="BA4" s="69"/>
      <c r="BB4" s="69"/>
      <c r="BC4" s="69"/>
      <c r="BD4" s="69"/>
      <c r="BE4" s="70"/>
      <c r="BF4" s="68">
        <f>BF5</f>
        <v>46132</v>
      </c>
      <c r="BG4" s="69"/>
      <c r="BH4" s="69"/>
      <c r="BI4" s="69"/>
      <c r="BJ4" s="69"/>
      <c r="BK4" s="69"/>
      <c r="BL4" s="70"/>
    </row>
    <row r="5" spans="1:64" x14ac:dyDescent="0.3">
      <c r="A5" s="6"/>
      <c r="G5" s="6"/>
      <c r="I5" s="13">
        <f>E2-WEEKDAY(E2,1)+2+7*(E4-1)</f>
        <v>46083</v>
      </c>
      <c r="J5" s="12">
        <f>I5+1</f>
        <v>46084</v>
      </c>
      <c r="K5" s="12">
        <f t="shared" ref="K5:AX5" si="0">J5+1</f>
        <v>46085</v>
      </c>
      <c r="L5" s="12">
        <f t="shared" si="0"/>
        <v>46086</v>
      </c>
      <c r="M5" s="12">
        <f t="shared" si="0"/>
        <v>46087</v>
      </c>
      <c r="N5" s="12">
        <f t="shared" si="0"/>
        <v>46088</v>
      </c>
      <c r="O5" s="14">
        <f t="shared" si="0"/>
        <v>46089</v>
      </c>
      <c r="P5" s="13">
        <f>O5+1</f>
        <v>46090</v>
      </c>
      <c r="Q5" s="12">
        <f>P5+1</f>
        <v>46091</v>
      </c>
      <c r="R5" s="12">
        <f t="shared" si="0"/>
        <v>46092</v>
      </c>
      <c r="S5" s="12">
        <f t="shared" si="0"/>
        <v>46093</v>
      </c>
      <c r="T5" s="12">
        <f t="shared" si="0"/>
        <v>46094</v>
      </c>
      <c r="U5" s="12">
        <f t="shared" si="0"/>
        <v>46095</v>
      </c>
      <c r="V5" s="14">
        <f t="shared" si="0"/>
        <v>46096</v>
      </c>
      <c r="W5" s="13">
        <f>V5+1</f>
        <v>46097</v>
      </c>
      <c r="X5" s="12">
        <f>W5+1</f>
        <v>46098</v>
      </c>
      <c r="Y5" s="12">
        <f t="shared" si="0"/>
        <v>46099</v>
      </c>
      <c r="Z5" s="12">
        <f t="shared" si="0"/>
        <v>46100</v>
      </c>
      <c r="AA5" s="12">
        <f t="shared" si="0"/>
        <v>46101</v>
      </c>
      <c r="AB5" s="12">
        <f t="shared" si="0"/>
        <v>46102</v>
      </c>
      <c r="AC5" s="14">
        <f t="shared" si="0"/>
        <v>46103</v>
      </c>
      <c r="AD5" s="13">
        <f>AC5+1</f>
        <v>46104</v>
      </c>
      <c r="AE5" s="12">
        <f>AD5+1</f>
        <v>46105</v>
      </c>
      <c r="AF5" s="12">
        <f t="shared" si="0"/>
        <v>46106</v>
      </c>
      <c r="AG5" s="12">
        <f t="shared" si="0"/>
        <v>46107</v>
      </c>
      <c r="AH5" s="12">
        <f t="shared" si="0"/>
        <v>46108</v>
      </c>
      <c r="AI5" s="12">
        <f t="shared" si="0"/>
        <v>46109</v>
      </c>
      <c r="AJ5" s="14">
        <f t="shared" si="0"/>
        <v>46110</v>
      </c>
      <c r="AK5" s="13">
        <f>AJ5+1</f>
        <v>46111</v>
      </c>
      <c r="AL5" s="12">
        <f>AK5+1</f>
        <v>46112</v>
      </c>
      <c r="AM5" s="12">
        <f t="shared" si="0"/>
        <v>46113</v>
      </c>
      <c r="AN5" s="12">
        <f t="shared" si="0"/>
        <v>46114</v>
      </c>
      <c r="AO5" s="12">
        <f t="shared" si="0"/>
        <v>46115</v>
      </c>
      <c r="AP5" s="12">
        <f t="shared" si="0"/>
        <v>46116</v>
      </c>
      <c r="AQ5" s="14">
        <f t="shared" si="0"/>
        <v>46117</v>
      </c>
      <c r="AR5" s="13">
        <f>AQ5+1</f>
        <v>46118</v>
      </c>
      <c r="AS5" s="12">
        <f>AR5+1</f>
        <v>46119</v>
      </c>
      <c r="AT5" s="12">
        <f t="shared" si="0"/>
        <v>46120</v>
      </c>
      <c r="AU5" s="12">
        <f t="shared" si="0"/>
        <v>46121</v>
      </c>
      <c r="AV5" s="12">
        <f t="shared" si="0"/>
        <v>46122</v>
      </c>
      <c r="AW5" s="12">
        <f t="shared" si="0"/>
        <v>46123</v>
      </c>
      <c r="AX5" s="14">
        <f t="shared" si="0"/>
        <v>46124</v>
      </c>
      <c r="AY5" s="13">
        <f>AX5+1</f>
        <v>46125</v>
      </c>
      <c r="AZ5" s="12">
        <f>AY5+1</f>
        <v>46126</v>
      </c>
      <c r="BA5" s="12">
        <f t="shared" ref="BA5:BE5" si="1">AZ5+1</f>
        <v>46127</v>
      </c>
      <c r="BB5" s="12">
        <f t="shared" si="1"/>
        <v>46128</v>
      </c>
      <c r="BC5" s="12">
        <f t="shared" si="1"/>
        <v>46129</v>
      </c>
      <c r="BD5" s="12">
        <f t="shared" si="1"/>
        <v>46130</v>
      </c>
      <c r="BE5" s="14">
        <f t="shared" si="1"/>
        <v>46131</v>
      </c>
      <c r="BF5" s="13">
        <f>BE5+1</f>
        <v>46132</v>
      </c>
      <c r="BG5" s="12">
        <f>BF5+1</f>
        <v>46133</v>
      </c>
      <c r="BH5" s="12">
        <f t="shared" ref="BH5:BL5" si="2">BG5+1</f>
        <v>46134</v>
      </c>
      <c r="BI5" s="12">
        <f t="shared" si="2"/>
        <v>46135</v>
      </c>
      <c r="BJ5" s="12">
        <f t="shared" si="2"/>
        <v>46136</v>
      </c>
      <c r="BK5" s="12">
        <f t="shared" si="2"/>
        <v>46137</v>
      </c>
      <c r="BL5" s="14">
        <f t="shared" si="2"/>
        <v>46138</v>
      </c>
    </row>
    <row r="6" spans="1:64" ht="29.25" customHeight="1" thickBot="1" x14ac:dyDescent="0.35">
      <c r="A6" s="17"/>
      <c r="B6" s="10" t="s">
        <v>7</v>
      </c>
      <c r="C6" s="11" t="s">
        <v>2</v>
      </c>
      <c r="D6" s="11" t="s">
        <v>1</v>
      </c>
      <c r="E6" s="11" t="s">
        <v>3</v>
      </c>
      <c r="F6" s="11" t="s">
        <v>4</v>
      </c>
      <c r="G6" s="11"/>
      <c r="H6" s="11" t="s">
        <v>5</v>
      </c>
      <c r="I6" s="15" t="str">
        <f t="shared" ref="I6" si="3">LEFT(TEXT(I5,"ddd"),1)</f>
        <v>M</v>
      </c>
      <c r="J6" s="15" t="str">
        <f t="shared" ref="J6:AR6" si="4">LEFT(TEXT(J5,"ddd"),1)</f>
        <v>T</v>
      </c>
      <c r="K6" s="15" t="str">
        <f t="shared" si="4"/>
        <v>W</v>
      </c>
      <c r="L6" s="15" t="str">
        <f t="shared" si="4"/>
        <v>T</v>
      </c>
      <c r="M6" s="15" t="str">
        <f t="shared" si="4"/>
        <v>F</v>
      </c>
      <c r="N6" s="15" t="str">
        <f t="shared" si="4"/>
        <v>S</v>
      </c>
      <c r="O6" s="15" t="str">
        <f t="shared" si="4"/>
        <v>S</v>
      </c>
      <c r="P6" s="15" t="str">
        <f t="shared" si="4"/>
        <v>M</v>
      </c>
      <c r="Q6" s="15" t="str">
        <f t="shared" si="4"/>
        <v>T</v>
      </c>
      <c r="R6" s="15" t="str">
        <f t="shared" si="4"/>
        <v>W</v>
      </c>
      <c r="S6" s="15" t="str">
        <f t="shared" si="4"/>
        <v>T</v>
      </c>
      <c r="T6" s="15" t="str">
        <f t="shared" si="4"/>
        <v>F</v>
      </c>
      <c r="U6" s="15" t="str">
        <f t="shared" si="4"/>
        <v>S</v>
      </c>
      <c r="V6" s="15" t="str">
        <f t="shared" si="4"/>
        <v>S</v>
      </c>
      <c r="W6" s="15" t="str">
        <f t="shared" si="4"/>
        <v>M</v>
      </c>
      <c r="X6" s="15" t="str">
        <f t="shared" si="4"/>
        <v>T</v>
      </c>
      <c r="Y6" s="15" t="str">
        <f t="shared" si="4"/>
        <v>W</v>
      </c>
      <c r="Z6" s="15" t="str">
        <f t="shared" si="4"/>
        <v>T</v>
      </c>
      <c r="AA6" s="15" t="str">
        <f t="shared" si="4"/>
        <v>F</v>
      </c>
      <c r="AB6" s="15" t="str">
        <f t="shared" si="4"/>
        <v>S</v>
      </c>
      <c r="AC6" s="15" t="str">
        <f t="shared" si="4"/>
        <v>S</v>
      </c>
      <c r="AD6" s="15" t="str">
        <f t="shared" si="4"/>
        <v>M</v>
      </c>
      <c r="AE6" s="15" t="str">
        <f t="shared" si="4"/>
        <v>T</v>
      </c>
      <c r="AF6" s="15" t="str">
        <f t="shared" si="4"/>
        <v>W</v>
      </c>
      <c r="AG6" s="15" t="str">
        <f t="shared" si="4"/>
        <v>T</v>
      </c>
      <c r="AH6" s="15" t="str">
        <f t="shared" si="4"/>
        <v>F</v>
      </c>
      <c r="AI6" s="15" t="str">
        <f t="shared" si="4"/>
        <v>S</v>
      </c>
      <c r="AJ6" s="15" t="str">
        <f t="shared" si="4"/>
        <v>S</v>
      </c>
      <c r="AK6" s="15" t="str">
        <f t="shared" si="4"/>
        <v>M</v>
      </c>
      <c r="AL6" s="15" t="str">
        <f t="shared" si="4"/>
        <v>T</v>
      </c>
      <c r="AM6" s="15" t="str">
        <f t="shared" si="4"/>
        <v>W</v>
      </c>
      <c r="AN6" s="15" t="str">
        <f t="shared" si="4"/>
        <v>T</v>
      </c>
      <c r="AO6" s="15" t="str">
        <f t="shared" si="4"/>
        <v>F</v>
      </c>
      <c r="AP6" s="15" t="str">
        <f t="shared" si="4"/>
        <v>S</v>
      </c>
      <c r="AQ6" s="15" t="str">
        <f t="shared" si="4"/>
        <v>S</v>
      </c>
      <c r="AR6" s="15" t="str">
        <f t="shared" si="4"/>
        <v>M</v>
      </c>
      <c r="AS6" s="15" t="str">
        <f t="shared" ref="AS6:BL6" si="5">LEFT(TEXT(AS5,"ddd"),1)</f>
        <v>T</v>
      </c>
      <c r="AT6" s="15" t="str">
        <f t="shared" si="5"/>
        <v>W</v>
      </c>
      <c r="AU6" s="15" t="str">
        <f t="shared" si="5"/>
        <v>T</v>
      </c>
      <c r="AV6" s="15" t="str">
        <f t="shared" si="5"/>
        <v>F</v>
      </c>
      <c r="AW6" s="15" t="str">
        <f t="shared" si="5"/>
        <v>S</v>
      </c>
      <c r="AX6" s="15" t="str">
        <f t="shared" si="5"/>
        <v>S</v>
      </c>
      <c r="AY6" s="15" t="str">
        <f t="shared" si="5"/>
        <v>M</v>
      </c>
      <c r="AZ6" s="15" t="str">
        <f t="shared" si="5"/>
        <v>T</v>
      </c>
      <c r="BA6" s="15" t="str">
        <f t="shared" si="5"/>
        <v>W</v>
      </c>
      <c r="BB6" s="15" t="str">
        <f t="shared" si="5"/>
        <v>T</v>
      </c>
      <c r="BC6" s="15" t="str">
        <f t="shared" si="5"/>
        <v>F</v>
      </c>
      <c r="BD6" s="15" t="str">
        <f t="shared" si="5"/>
        <v>S</v>
      </c>
      <c r="BE6" s="15" t="str">
        <f t="shared" si="5"/>
        <v>S</v>
      </c>
      <c r="BF6" s="15" t="str">
        <f t="shared" si="5"/>
        <v>M</v>
      </c>
      <c r="BG6" s="15" t="str">
        <f t="shared" si="5"/>
        <v>T</v>
      </c>
      <c r="BH6" s="15" t="str">
        <f t="shared" si="5"/>
        <v>W</v>
      </c>
      <c r="BI6" s="15" t="str">
        <f t="shared" si="5"/>
        <v>T</v>
      </c>
      <c r="BJ6" s="15" t="str">
        <f t="shared" si="5"/>
        <v>F</v>
      </c>
      <c r="BK6" s="15" t="str">
        <f t="shared" si="5"/>
        <v>S</v>
      </c>
      <c r="BL6" s="15" t="str">
        <f t="shared" si="5"/>
        <v>S</v>
      </c>
    </row>
    <row r="7" spans="1:64" s="3" customFormat="1" ht="21.6" thickBot="1" x14ac:dyDescent="0.35">
      <c r="A7" s="17"/>
      <c r="B7" s="18"/>
      <c r="C7" s="19"/>
      <c r="D7" s="20"/>
      <c r="E7" s="21"/>
      <c r="F7" s="22"/>
      <c r="G7" s="23"/>
      <c r="H7" s="23" t="str">
        <f t="shared" ref="H7:H29" si="6">IF(OR(ISBLANK(task_start),ISBLANK(task_end)),"",task_end-task_start+1)</f>
        <v/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</row>
    <row r="8" spans="1:64" s="3" customFormat="1" ht="21.6" thickBot="1" x14ac:dyDescent="0.35">
      <c r="A8" s="17"/>
      <c r="B8" s="24" t="s">
        <v>13</v>
      </c>
      <c r="C8" s="25"/>
      <c r="D8" s="26"/>
      <c r="E8" s="27">
        <v>46083</v>
      </c>
      <c r="F8" s="28">
        <v>46085</v>
      </c>
      <c r="G8" s="23"/>
      <c r="H8" s="23">
        <f t="shared" si="6"/>
        <v>3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</row>
    <row r="9" spans="1:64" s="3" customFormat="1" ht="21.6" thickBot="1" x14ac:dyDescent="0.35">
      <c r="A9" s="17"/>
      <c r="B9" s="29" t="s">
        <v>10</v>
      </c>
      <c r="C9" s="30"/>
      <c r="D9" s="31">
        <v>1</v>
      </c>
      <c r="E9" s="27">
        <v>46083</v>
      </c>
      <c r="F9" s="28">
        <v>46085</v>
      </c>
      <c r="G9" s="23"/>
      <c r="H9" s="23">
        <f t="shared" si="6"/>
        <v>3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</row>
    <row r="10" spans="1:64" s="3" customFormat="1" ht="21.6" thickBot="1" x14ac:dyDescent="0.35">
      <c r="A10" s="17"/>
      <c r="B10" s="29" t="s">
        <v>11</v>
      </c>
      <c r="C10" s="30"/>
      <c r="D10" s="31">
        <v>1</v>
      </c>
      <c r="E10" s="27">
        <v>46083</v>
      </c>
      <c r="F10" s="28">
        <v>46085</v>
      </c>
      <c r="G10" s="23"/>
      <c r="H10" s="23">
        <f t="shared" si="6"/>
        <v>3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5"/>
      <c r="V10" s="65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</row>
    <row r="11" spans="1:64" s="3" customFormat="1" ht="21.6" thickBot="1" x14ac:dyDescent="0.35">
      <c r="A11" s="17"/>
      <c r="B11" s="29" t="s">
        <v>12</v>
      </c>
      <c r="C11" s="30"/>
      <c r="D11" s="31">
        <v>1</v>
      </c>
      <c r="E11" s="27">
        <v>46083</v>
      </c>
      <c r="F11" s="28">
        <v>46085</v>
      </c>
      <c r="G11" s="23"/>
      <c r="H11" s="23">
        <f t="shared" si="6"/>
        <v>3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</row>
    <row r="12" spans="1:64" s="3" customFormat="1" ht="21.6" thickBot="1" x14ac:dyDescent="0.35">
      <c r="A12" s="17"/>
      <c r="B12" s="32" t="s">
        <v>14</v>
      </c>
      <c r="C12" s="33"/>
      <c r="D12" s="34"/>
      <c r="E12" s="35">
        <v>46085</v>
      </c>
      <c r="F12" s="36">
        <v>46099</v>
      </c>
      <c r="G12" s="23"/>
      <c r="H12" s="23">
        <f t="shared" si="6"/>
        <v>15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</row>
    <row r="13" spans="1:64" s="3" customFormat="1" ht="21.6" thickBot="1" x14ac:dyDescent="0.35">
      <c r="A13" s="17"/>
      <c r="B13" s="37" t="s">
        <v>15</v>
      </c>
      <c r="C13" s="38"/>
      <c r="D13" s="39">
        <v>1</v>
      </c>
      <c r="E13" s="35">
        <v>46085</v>
      </c>
      <c r="F13" s="36">
        <v>46099</v>
      </c>
      <c r="G13" s="23"/>
      <c r="H13" s="23">
        <f t="shared" si="6"/>
        <v>15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</row>
    <row r="14" spans="1:64" s="3" customFormat="1" ht="21.6" thickBot="1" x14ac:dyDescent="0.35">
      <c r="A14" s="17"/>
      <c r="B14" s="37" t="s">
        <v>16</v>
      </c>
      <c r="C14" s="38"/>
      <c r="D14" s="39">
        <v>1</v>
      </c>
      <c r="E14" s="35">
        <v>46086</v>
      </c>
      <c r="F14" s="36">
        <v>46099</v>
      </c>
      <c r="G14" s="23"/>
      <c r="H14" s="23">
        <f t="shared" si="6"/>
        <v>14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5"/>
      <c r="V14" s="65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</row>
    <row r="15" spans="1:64" s="3" customFormat="1" ht="21.6" thickBot="1" x14ac:dyDescent="0.35">
      <c r="A15" s="17"/>
      <c r="B15" s="40" t="s">
        <v>17</v>
      </c>
      <c r="C15" s="41"/>
      <c r="D15" s="42"/>
      <c r="E15" s="43">
        <v>46096</v>
      </c>
      <c r="F15" s="44">
        <v>46111</v>
      </c>
      <c r="G15" s="23"/>
      <c r="H15" s="23">
        <f t="shared" si="6"/>
        <v>16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</row>
    <row r="16" spans="1:64" s="3" customFormat="1" ht="21.6" thickBot="1" x14ac:dyDescent="0.35">
      <c r="A16" s="17"/>
      <c r="B16" s="45" t="s">
        <v>20</v>
      </c>
      <c r="C16" s="46"/>
      <c r="D16" s="47">
        <v>1</v>
      </c>
      <c r="E16" s="43">
        <v>46096</v>
      </c>
      <c r="F16" s="44">
        <v>46107</v>
      </c>
      <c r="G16" s="23"/>
      <c r="H16" s="23">
        <f t="shared" si="6"/>
        <v>12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</row>
    <row r="17" spans="1:64" s="3" customFormat="1" ht="21.6" thickBot="1" x14ac:dyDescent="0.35">
      <c r="A17" s="17"/>
      <c r="B17" s="45" t="s">
        <v>21</v>
      </c>
      <c r="C17" s="46"/>
      <c r="D17" s="47">
        <v>1</v>
      </c>
      <c r="E17" s="43">
        <v>46096</v>
      </c>
      <c r="F17" s="44">
        <v>46110</v>
      </c>
      <c r="G17" s="23"/>
      <c r="H17" s="23">
        <f t="shared" si="6"/>
        <v>15</v>
      </c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</row>
    <row r="18" spans="1:64" s="3" customFormat="1" ht="21.6" thickBot="1" x14ac:dyDescent="0.35">
      <c r="A18" s="17"/>
      <c r="B18" s="45" t="s">
        <v>22</v>
      </c>
      <c r="C18" s="46"/>
      <c r="D18" s="47">
        <v>1</v>
      </c>
      <c r="E18" s="43">
        <v>46105</v>
      </c>
      <c r="F18" s="44">
        <v>46111</v>
      </c>
      <c r="G18" s="23"/>
      <c r="H18" s="23">
        <f t="shared" si="6"/>
        <v>7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</row>
    <row r="19" spans="1:64" s="3" customFormat="1" ht="21.6" thickBot="1" x14ac:dyDescent="0.35">
      <c r="A19" s="17"/>
      <c r="B19" s="48" t="s">
        <v>18</v>
      </c>
      <c r="C19" s="49"/>
      <c r="D19" s="50"/>
      <c r="E19" s="51">
        <v>46096</v>
      </c>
      <c r="F19" s="52">
        <v>46111</v>
      </c>
      <c r="G19" s="23"/>
      <c r="H19" s="23">
        <f t="shared" si="6"/>
        <v>16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</row>
    <row r="20" spans="1:64" s="3" customFormat="1" ht="21.6" thickBot="1" x14ac:dyDescent="0.35">
      <c r="A20" s="17"/>
      <c r="B20" s="53" t="s">
        <v>23</v>
      </c>
      <c r="C20" s="54"/>
      <c r="D20" s="55">
        <v>1</v>
      </c>
      <c r="E20" s="51">
        <v>46096</v>
      </c>
      <c r="F20" s="52">
        <v>46111</v>
      </c>
      <c r="G20" s="23"/>
      <c r="H20" s="23">
        <f t="shared" si="6"/>
        <v>16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</row>
    <row r="21" spans="1:64" s="3" customFormat="1" ht="21.6" thickBot="1" x14ac:dyDescent="0.35">
      <c r="A21" s="17"/>
      <c r="B21" s="53" t="s">
        <v>24</v>
      </c>
      <c r="C21" s="54"/>
      <c r="D21" s="55">
        <v>1</v>
      </c>
      <c r="E21" s="51">
        <v>46103</v>
      </c>
      <c r="F21" s="52">
        <v>46111</v>
      </c>
      <c r="G21" s="23"/>
      <c r="H21" s="23">
        <f t="shared" si="6"/>
        <v>9</v>
      </c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</row>
    <row r="22" spans="1:64" s="3" customFormat="1" ht="21.6" thickBot="1" x14ac:dyDescent="0.35">
      <c r="A22" s="17"/>
      <c r="B22" s="53" t="s">
        <v>25</v>
      </c>
      <c r="C22" s="54"/>
      <c r="D22" s="55">
        <v>1</v>
      </c>
      <c r="E22" s="51">
        <v>46105</v>
      </c>
      <c r="F22" s="52">
        <v>46109</v>
      </c>
      <c r="G22" s="23"/>
      <c r="H22" s="23">
        <f t="shared" si="6"/>
        <v>5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</row>
    <row r="23" spans="1:64" s="3" customFormat="1" ht="21.6" thickBot="1" x14ac:dyDescent="0.35">
      <c r="A23" s="17"/>
      <c r="B23" s="53" t="s">
        <v>26</v>
      </c>
      <c r="C23" s="54"/>
      <c r="D23" s="55">
        <v>1</v>
      </c>
      <c r="E23" s="51">
        <v>46105</v>
      </c>
      <c r="F23" s="52">
        <v>46111</v>
      </c>
      <c r="G23" s="23"/>
      <c r="H23" s="23">
        <f t="shared" si="6"/>
        <v>7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</row>
    <row r="24" spans="1:64" s="3" customFormat="1" ht="21.6" thickBot="1" x14ac:dyDescent="0.35">
      <c r="A24" s="17"/>
      <c r="B24" s="53" t="s">
        <v>27</v>
      </c>
      <c r="C24" s="54"/>
      <c r="D24" s="55">
        <v>1</v>
      </c>
      <c r="E24" s="51">
        <v>46105</v>
      </c>
      <c r="F24" s="52">
        <v>46105</v>
      </c>
      <c r="G24" s="23"/>
      <c r="H24" s="23">
        <f t="shared" si="6"/>
        <v>1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</row>
    <row r="25" spans="1:64" s="3" customFormat="1" ht="21.6" thickBot="1" x14ac:dyDescent="0.35">
      <c r="A25" s="17"/>
      <c r="B25" s="56" t="s">
        <v>19</v>
      </c>
      <c r="C25" s="57"/>
      <c r="D25" s="58"/>
      <c r="E25" s="59">
        <v>46105</v>
      </c>
      <c r="F25" s="60">
        <v>46117</v>
      </c>
      <c r="G25" s="23"/>
      <c r="H25" s="23">
        <f t="shared" si="6"/>
        <v>13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</row>
    <row r="26" spans="1:64" s="3" customFormat="1" ht="21.6" thickBot="1" x14ac:dyDescent="0.35">
      <c r="A26" s="17"/>
      <c r="B26" s="61" t="s">
        <v>28</v>
      </c>
      <c r="C26" s="62"/>
      <c r="D26" s="63">
        <v>1</v>
      </c>
      <c r="E26" s="59">
        <v>46105</v>
      </c>
      <c r="F26" s="60">
        <v>46117</v>
      </c>
      <c r="G26" s="23"/>
      <c r="H26" s="23">
        <f t="shared" si="6"/>
        <v>13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</row>
    <row r="27" spans="1:64" s="3" customFormat="1" ht="21.6" thickBot="1" x14ac:dyDescent="0.35">
      <c r="A27" s="17"/>
      <c r="B27" s="61" t="s">
        <v>29</v>
      </c>
      <c r="C27" s="62"/>
      <c r="D27" s="63">
        <v>1</v>
      </c>
      <c r="E27" s="59">
        <v>46105</v>
      </c>
      <c r="F27" s="60">
        <v>46117</v>
      </c>
      <c r="G27" s="23"/>
      <c r="H27" s="23">
        <f t="shared" si="6"/>
        <v>13</v>
      </c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</row>
    <row r="28" spans="1:64" s="3" customFormat="1" ht="21.6" thickBot="1" x14ac:dyDescent="0.35">
      <c r="A28" s="17"/>
      <c r="B28" s="18"/>
      <c r="C28" s="19"/>
      <c r="D28" s="20"/>
      <c r="E28" s="21"/>
      <c r="F28" s="22"/>
      <c r="G28" s="23"/>
      <c r="H28" s="23" t="str">
        <f t="shared" si="6"/>
        <v/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</row>
    <row r="29" spans="1:64" s="3" customFormat="1" ht="21.6" thickBot="1" x14ac:dyDescent="0.35">
      <c r="A29" s="17"/>
      <c r="B29" s="18"/>
      <c r="C29" s="19"/>
      <c r="D29" s="20"/>
      <c r="E29" s="21"/>
      <c r="F29" s="22"/>
      <c r="G29" s="23"/>
      <c r="H29" s="23" t="str">
        <f t="shared" si="6"/>
        <v/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</row>
    <row r="30" spans="1:64" x14ac:dyDescent="0.3">
      <c r="B30" t="s">
        <v>30</v>
      </c>
    </row>
  </sheetData>
  <mergeCells count="11">
    <mergeCell ref="E2:F2"/>
    <mergeCell ref="I4:O4"/>
    <mergeCell ref="P4:V4"/>
    <mergeCell ref="W4:AC4"/>
    <mergeCell ref="AD4:AJ4"/>
    <mergeCell ref="E3:F3"/>
    <mergeCell ref="J1:AA1"/>
    <mergeCell ref="AK4:AQ4"/>
    <mergeCell ref="AR4:AX4"/>
    <mergeCell ref="AY4:BE4"/>
    <mergeCell ref="BF4:BL4"/>
  </mergeCells>
  <conditionalFormatting sqref="D7:D29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BL29">
    <cfRule type="expression" dxfId="5" priority="27">
      <formula>AND(today&gt;=I$5,today&lt;I$5+1)</formula>
    </cfRule>
  </conditionalFormatting>
  <conditionalFormatting sqref="I7:BL29">
    <cfRule type="expression" dxfId="4" priority="25">
      <formula>AND(task_start&lt;=I$5,ROUNDDOWN((task_end-task_start+1)*task_progress,0)+task_start-1&gt;=I$5)</formula>
    </cfRule>
    <cfRule type="expression" dxfId="3" priority="26" stopIfTrue="1">
      <formula>AND(task_end&gt;=I$5,task_start&lt;I$5+1)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E4" xr:uid="{00000000-0002-0000-0000-000000000000}">
      <formula1>1</formula1>
    </dataValidation>
  </dataValidations>
  <pageMargins left="0.35" right="0.35" top="0.35" bottom="0.5" header="0.3" footer="0.3"/>
  <pageSetup scale="62" fitToHeight="0" orientation="landscape" r:id="rId1"/>
  <headerFooter scaleWithDoc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8353-8B8D-45FB-9080-ABDA61F6A4AD}">
  <sheetPr codeName="Sheet2">
    <tabColor theme="6"/>
    <pageSetUpPr fitToPage="1"/>
  </sheetPr>
  <dimension ref="A1:BL30"/>
  <sheetViews>
    <sheetView showGridLines="0" tabSelected="1" showRuler="0" topLeftCell="B1" zoomScale="95" zoomScaleNormal="100" zoomScalePageLayoutView="70" workbookViewId="0">
      <pane ySplit="6" topLeftCell="A19" activePane="bottomLeft" state="frozen"/>
      <selection pane="bottomLeft" activeCell="F28" sqref="F28"/>
    </sheetView>
  </sheetViews>
  <sheetFormatPr defaultRowHeight="14.4" x14ac:dyDescent="0.3"/>
  <cols>
    <col min="1" max="1" width="2.77734375" customWidth="1"/>
    <col min="2" max="2" width="19.88671875" customWidth="1"/>
    <col min="3" max="3" width="9.109375" customWidth="1"/>
    <col min="4" max="4" width="10.77734375" customWidth="1"/>
    <col min="5" max="5" width="10.44140625" style="5" customWidth="1"/>
    <col min="6" max="6" width="10.44140625" customWidth="1"/>
    <col min="7" max="7" width="2.77734375" customWidth="1"/>
    <col min="8" max="8" width="6.109375" hidden="1" customWidth="1"/>
    <col min="9" max="64" width="2.5546875" customWidth="1"/>
  </cols>
  <sheetData>
    <row r="1" spans="1:64" ht="28.8" x14ac:dyDescent="0.55000000000000004">
      <c r="B1" s="16" t="s">
        <v>9</v>
      </c>
      <c r="C1" s="1"/>
      <c r="D1" s="2"/>
      <c r="E1" s="4"/>
      <c r="F1" s="66"/>
      <c r="H1" s="2"/>
      <c r="I1" s="8"/>
      <c r="J1" s="67" t="str">
        <f>HYPERLINK("https://vertex42.link/HowToMakeAGanttChart","► Watch How to Make a Gantt Chart in Excel")</f>
        <v>► Watch How to Make a Gantt Chart in Excel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64" ht="19.5" customHeight="1" x14ac:dyDescent="0.35">
      <c r="B2" s="9"/>
      <c r="D2" s="6" t="s">
        <v>0</v>
      </c>
      <c r="E2" s="71">
        <v>46082</v>
      </c>
      <c r="F2" s="72"/>
    </row>
    <row r="3" spans="1:64" ht="19.5" customHeight="1" x14ac:dyDescent="0.35">
      <c r="B3" s="9"/>
      <c r="D3" s="6" t="s">
        <v>8</v>
      </c>
      <c r="E3" s="71">
        <v>46131</v>
      </c>
      <c r="F3" s="72"/>
    </row>
    <row r="4" spans="1:64" ht="19.5" customHeight="1" x14ac:dyDescent="0.3">
      <c r="D4" s="6" t="s">
        <v>6</v>
      </c>
      <c r="E4" s="7">
        <v>1</v>
      </c>
      <c r="I4" s="68">
        <f>I5</f>
        <v>46083</v>
      </c>
      <c r="J4" s="69"/>
      <c r="K4" s="69"/>
      <c r="L4" s="69"/>
      <c r="M4" s="69"/>
      <c r="N4" s="69"/>
      <c r="O4" s="70"/>
      <c r="P4" s="68">
        <f>P5</f>
        <v>46090</v>
      </c>
      <c r="Q4" s="69"/>
      <c r="R4" s="69"/>
      <c r="S4" s="69"/>
      <c r="T4" s="69"/>
      <c r="U4" s="69"/>
      <c r="V4" s="70"/>
      <c r="W4" s="68">
        <f>W5</f>
        <v>46097</v>
      </c>
      <c r="X4" s="69"/>
      <c r="Y4" s="69"/>
      <c r="Z4" s="69"/>
      <c r="AA4" s="69"/>
      <c r="AB4" s="69"/>
      <c r="AC4" s="70"/>
      <c r="AD4" s="68">
        <f>AD5</f>
        <v>46104</v>
      </c>
      <c r="AE4" s="69"/>
      <c r="AF4" s="69"/>
      <c r="AG4" s="69"/>
      <c r="AH4" s="69"/>
      <c r="AI4" s="69"/>
      <c r="AJ4" s="70"/>
      <c r="AK4" s="68">
        <f>AK5</f>
        <v>46111</v>
      </c>
      <c r="AL4" s="69"/>
      <c r="AM4" s="69"/>
      <c r="AN4" s="69"/>
      <c r="AO4" s="69"/>
      <c r="AP4" s="69"/>
      <c r="AQ4" s="70"/>
      <c r="AR4" s="68">
        <f>AR5</f>
        <v>46118</v>
      </c>
      <c r="AS4" s="69"/>
      <c r="AT4" s="69"/>
      <c r="AU4" s="69"/>
      <c r="AV4" s="69"/>
      <c r="AW4" s="69"/>
      <c r="AX4" s="70"/>
      <c r="AY4" s="68">
        <f>AY5</f>
        <v>46125</v>
      </c>
      <c r="AZ4" s="69"/>
      <c r="BA4" s="69"/>
      <c r="BB4" s="69"/>
      <c r="BC4" s="69"/>
      <c r="BD4" s="69"/>
      <c r="BE4" s="70"/>
      <c r="BF4" s="68">
        <f>BF5</f>
        <v>46132</v>
      </c>
      <c r="BG4" s="69"/>
      <c r="BH4" s="69"/>
      <c r="BI4" s="69"/>
      <c r="BJ4" s="69"/>
      <c r="BK4" s="69"/>
      <c r="BL4" s="70"/>
    </row>
    <row r="5" spans="1:64" x14ac:dyDescent="0.3">
      <c r="A5" s="6"/>
      <c r="G5" s="6"/>
      <c r="I5" s="13">
        <f>E2-WEEKDAY(E2,1)+2+7*(E4-1)</f>
        <v>46083</v>
      </c>
      <c r="J5" s="12">
        <f>I5+1</f>
        <v>46084</v>
      </c>
      <c r="K5" s="12">
        <f t="shared" ref="K5:AX5" si="0">J5+1</f>
        <v>46085</v>
      </c>
      <c r="L5" s="12">
        <f t="shared" si="0"/>
        <v>46086</v>
      </c>
      <c r="M5" s="12">
        <f t="shared" si="0"/>
        <v>46087</v>
      </c>
      <c r="N5" s="12">
        <f t="shared" si="0"/>
        <v>46088</v>
      </c>
      <c r="O5" s="14">
        <f t="shared" si="0"/>
        <v>46089</v>
      </c>
      <c r="P5" s="13">
        <f>O5+1</f>
        <v>46090</v>
      </c>
      <c r="Q5" s="12">
        <f>P5+1</f>
        <v>46091</v>
      </c>
      <c r="R5" s="12">
        <f t="shared" si="0"/>
        <v>46092</v>
      </c>
      <c r="S5" s="12">
        <f t="shared" si="0"/>
        <v>46093</v>
      </c>
      <c r="T5" s="12">
        <f t="shared" si="0"/>
        <v>46094</v>
      </c>
      <c r="U5" s="12">
        <f t="shared" si="0"/>
        <v>46095</v>
      </c>
      <c r="V5" s="14">
        <f t="shared" si="0"/>
        <v>46096</v>
      </c>
      <c r="W5" s="13">
        <f>V5+1</f>
        <v>46097</v>
      </c>
      <c r="X5" s="12">
        <f>W5+1</f>
        <v>46098</v>
      </c>
      <c r="Y5" s="12">
        <f t="shared" si="0"/>
        <v>46099</v>
      </c>
      <c r="Z5" s="12">
        <f t="shared" si="0"/>
        <v>46100</v>
      </c>
      <c r="AA5" s="12">
        <f t="shared" si="0"/>
        <v>46101</v>
      </c>
      <c r="AB5" s="12">
        <f t="shared" si="0"/>
        <v>46102</v>
      </c>
      <c r="AC5" s="14">
        <f t="shared" si="0"/>
        <v>46103</v>
      </c>
      <c r="AD5" s="13">
        <f>AC5+1</f>
        <v>46104</v>
      </c>
      <c r="AE5" s="12">
        <f>AD5+1</f>
        <v>46105</v>
      </c>
      <c r="AF5" s="12">
        <f t="shared" si="0"/>
        <v>46106</v>
      </c>
      <c r="AG5" s="12">
        <f t="shared" si="0"/>
        <v>46107</v>
      </c>
      <c r="AH5" s="12">
        <f t="shared" si="0"/>
        <v>46108</v>
      </c>
      <c r="AI5" s="12">
        <f t="shared" si="0"/>
        <v>46109</v>
      </c>
      <c r="AJ5" s="14">
        <f t="shared" si="0"/>
        <v>46110</v>
      </c>
      <c r="AK5" s="13">
        <f>AJ5+1</f>
        <v>46111</v>
      </c>
      <c r="AL5" s="12">
        <f>AK5+1</f>
        <v>46112</v>
      </c>
      <c r="AM5" s="12">
        <f t="shared" si="0"/>
        <v>46113</v>
      </c>
      <c r="AN5" s="12">
        <f t="shared" si="0"/>
        <v>46114</v>
      </c>
      <c r="AO5" s="12">
        <f t="shared" si="0"/>
        <v>46115</v>
      </c>
      <c r="AP5" s="12">
        <f t="shared" si="0"/>
        <v>46116</v>
      </c>
      <c r="AQ5" s="14">
        <f t="shared" si="0"/>
        <v>46117</v>
      </c>
      <c r="AR5" s="13">
        <f>AQ5+1</f>
        <v>46118</v>
      </c>
      <c r="AS5" s="12">
        <f>AR5+1</f>
        <v>46119</v>
      </c>
      <c r="AT5" s="12">
        <f t="shared" si="0"/>
        <v>46120</v>
      </c>
      <c r="AU5" s="12">
        <f t="shared" si="0"/>
        <v>46121</v>
      </c>
      <c r="AV5" s="12">
        <f t="shared" si="0"/>
        <v>46122</v>
      </c>
      <c r="AW5" s="12">
        <f t="shared" si="0"/>
        <v>46123</v>
      </c>
      <c r="AX5" s="14">
        <f t="shared" si="0"/>
        <v>46124</v>
      </c>
      <c r="AY5" s="13">
        <f>AX5+1</f>
        <v>46125</v>
      </c>
      <c r="AZ5" s="12">
        <f>AY5+1</f>
        <v>46126</v>
      </c>
      <c r="BA5" s="12">
        <f t="shared" ref="BA5:BE5" si="1">AZ5+1</f>
        <v>46127</v>
      </c>
      <c r="BB5" s="12">
        <f t="shared" si="1"/>
        <v>46128</v>
      </c>
      <c r="BC5" s="12">
        <f t="shared" si="1"/>
        <v>46129</v>
      </c>
      <c r="BD5" s="12">
        <f t="shared" si="1"/>
        <v>46130</v>
      </c>
      <c r="BE5" s="14">
        <f t="shared" si="1"/>
        <v>46131</v>
      </c>
      <c r="BF5" s="13">
        <f>BE5+1</f>
        <v>46132</v>
      </c>
      <c r="BG5" s="12">
        <f>BF5+1</f>
        <v>46133</v>
      </c>
      <c r="BH5" s="12">
        <f t="shared" ref="BH5:BL5" si="2">BG5+1</f>
        <v>46134</v>
      </c>
      <c r="BI5" s="12">
        <f t="shared" si="2"/>
        <v>46135</v>
      </c>
      <c r="BJ5" s="12">
        <f t="shared" si="2"/>
        <v>46136</v>
      </c>
      <c r="BK5" s="12">
        <f t="shared" si="2"/>
        <v>46137</v>
      </c>
      <c r="BL5" s="14">
        <f t="shared" si="2"/>
        <v>46138</v>
      </c>
    </row>
    <row r="6" spans="1:64" ht="29.25" customHeight="1" thickBot="1" x14ac:dyDescent="0.35">
      <c r="A6" s="17"/>
      <c r="B6" s="10" t="s">
        <v>7</v>
      </c>
      <c r="C6" s="11" t="s">
        <v>2</v>
      </c>
      <c r="D6" s="11" t="s">
        <v>1</v>
      </c>
      <c r="E6" s="11" t="s">
        <v>3</v>
      </c>
      <c r="F6" s="11" t="s">
        <v>4</v>
      </c>
      <c r="G6" s="11"/>
      <c r="H6" s="11" t="s">
        <v>5</v>
      </c>
      <c r="I6" s="15" t="str">
        <f t="shared" ref="I6:BL6" si="3">LEFT(TEXT(I5,"ddd"),1)</f>
        <v>M</v>
      </c>
      <c r="J6" s="15" t="str">
        <f t="shared" si="3"/>
        <v>T</v>
      </c>
      <c r="K6" s="15" t="str">
        <f t="shared" si="3"/>
        <v>W</v>
      </c>
      <c r="L6" s="15" t="str">
        <f t="shared" si="3"/>
        <v>T</v>
      </c>
      <c r="M6" s="15" t="str">
        <f t="shared" si="3"/>
        <v>F</v>
      </c>
      <c r="N6" s="15" t="str">
        <f t="shared" si="3"/>
        <v>S</v>
      </c>
      <c r="O6" s="15" t="str">
        <f t="shared" si="3"/>
        <v>S</v>
      </c>
      <c r="P6" s="15" t="str">
        <f t="shared" si="3"/>
        <v>M</v>
      </c>
      <c r="Q6" s="15" t="str">
        <f t="shared" si="3"/>
        <v>T</v>
      </c>
      <c r="R6" s="15" t="str">
        <f t="shared" si="3"/>
        <v>W</v>
      </c>
      <c r="S6" s="15" t="str">
        <f t="shared" si="3"/>
        <v>T</v>
      </c>
      <c r="T6" s="15" t="str">
        <f t="shared" si="3"/>
        <v>F</v>
      </c>
      <c r="U6" s="15" t="str">
        <f t="shared" si="3"/>
        <v>S</v>
      </c>
      <c r="V6" s="15" t="str">
        <f t="shared" si="3"/>
        <v>S</v>
      </c>
      <c r="W6" s="15" t="str">
        <f t="shared" si="3"/>
        <v>M</v>
      </c>
      <c r="X6" s="15" t="str">
        <f t="shared" si="3"/>
        <v>T</v>
      </c>
      <c r="Y6" s="15" t="str">
        <f t="shared" si="3"/>
        <v>W</v>
      </c>
      <c r="Z6" s="15" t="str">
        <f t="shared" si="3"/>
        <v>T</v>
      </c>
      <c r="AA6" s="15" t="str">
        <f t="shared" si="3"/>
        <v>F</v>
      </c>
      <c r="AB6" s="15" t="str">
        <f t="shared" si="3"/>
        <v>S</v>
      </c>
      <c r="AC6" s="15" t="str">
        <f t="shared" si="3"/>
        <v>S</v>
      </c>
      <c r="AD6" s="15" t="str">
        <f t="shared" si="3"/>
        <v>M</v>
      </c>
      <c r="AE6" s="15" t="str">
        <f t="shared" si="3"/>
        <v>T</v>
      </c>
      <c r="AF6" s="15" t="str">
        <f t="shared" si="3"/>
        <v>W</v>
      </c>
      <c r="AG6" s="15" t="str">
        <f t="shared" si="3"/>
        <v>T</v>
      </c>
      <c r="AH6" s="15" t="str">
        <f t="shared" si="3"/>
        <v>F</v>
      </c>
      <c r="AI6" s="15" t="str">
        <f t="shared" si="3"/>
        <v>S</v>
      </c>
      <c r="AJ6" s="15" t="str">
        <f t="shared" si="3"/>
        <v>S</v>
      </c>
      <c r="AK6" s="15" t="str">
        <f t="shared" si="3"/>
        <v>M</v>
      </c>
      <c r="AL6" s="15" t="str">
        <f t="shared" si="3"/>
        <v>T</v>
      </c>
      <c r="AM6" s="15" t="str">
        <f t="shared" si="3"/>
        <v>W</v>
      </c>
      <c r="AN6" s="15" t="str">
        <f t="shared" si="3"/>
        <v>T</v>
      </c>
      <c r="AO6" s="15" t="str">
        <f t="shared" si="3"/>
        <v>F</v>
      </c>
      <c r="AP6" s="15" t="str">
        <f t="shared" si="3"/>
        <v>S</v>
      </c>
      <c r="AQ6" s="15" t="str">
        <f t="shared" si="3"/>
        <v>S</v>
      </c>
      <c r="AR6" s="15" t="str">
        <f t="shared" si="3"/>
        <v>M</v>
      </c>
      <c r="AS6" s="15" t="str">
        <f t="shared" si="3"/>
        <v>T</v>
      </c>
      <c r="AT6" s="15" t="str">
        <f t="shared" si="3"/>
        <v>W</v>
      </c>
      <c r="AU6" s="15" t="str">
        <f t="shared" si="3"/>
        <v>T</v>
      </c>
      <c r="AV6" s="15" t="str">
        <f t="shared" si="3"/>
        <v>F</v>
      </c>
      <c r="AW6" s="15" t="str">
        <f t="shared" si="3"/>
        <v>S</v>
      </c>
      <c r="AX6" s="15" t="str">
        <f t="shared" si="3"/>
        <v>S</v>
      </c>
      <c r="AY6" s="15" t="str">
        <f t="shared" si="3"/>
        <v>M</v>
      </c>
      <c r="AZ6" s="15" t="str">
        <f t="shared" si="3"/>
        <v>T</v>
      </c>
      <c r="BA6" s="15" t="str">
        <f t="shared" si="3"/>
        <v>W</v>
      </c>
      <c r="BB6" s="15" t="str">
        <f t="shared" si="3"/>
        <v>T</v>
      </c>
      <c r="BC6" s="15" t="str">
        <f t="shared" si="3"/>
        <v>F</v>
      </c>
      <c r="BD6" s="15" t="str">
        <f t="shared" si="3"/>
        <v>S</v>
      </c>
      <c r="BE6" s="15" t="str">
        <f t="shared" si="3"/>
        <v>S</v>
      </c>
      <c r="BF6" s="15" t="str">
        <f t="shared" si="3"/>
        <v>M</v>
      </c>
      <c r="BG6" s="15" t="str">
        <f t="shared" si="3"/>
        <v>T</v>
      </c>
      <c r="BH6" s="15" t="str">
        <f t="shared" si="3"/>
        <v>W</v>
      </c>
      <c r="BI6" s="15" t="str">
        <f t="shared" si="3"/>
        <v>T</v>
      </c>
      <c r="BJ6" s="15" t="str">
        <f t="shared" si="3"/>
        <v>F</v>
      </c>
      <c r="BK6" s="15" t="str">
        <f t="shared" si="3"/>
        <v>S</v>
      </c>
      <c r="BL6" s="15" t="str">
        <f t="shared" si="3"/>
        <v>S</v>
      </c>
    </row>
    <row r="7" spans="1:64" s="3" customFormat="1" ht="21.6" thickBot="1" x14ac:dyDescent="0.35">
      <c r="A7" s="17"/>
      <c r="B7" s="18"/>
      <c r="C7" s="19"/>
      <c r="D7" s="20"/>
      <c r="E7" s="21"/>
      <c r="F7" s="22"/>
      <c r="G7" s="23"/>
      <c r="H7" s="23" t="str">
        <f t="shared" ref="H7:H29" si="4">IF(OR(ISBLANK(task_start),ISBLANK(task_end)),"",task_end-task_start+1)</f>
        <v/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</row>
    <row r="8" spans="1:64" s="3" customFormat="1" ht="21.6" thickBot="1" x14ac:dyDescent="0.35">
      <c r="A8" s="17"/>
      <c r="B8" s="24" t="s">
        <v>13</v>
      </c>
      <c r="C8" s="25"/>
      <c r="D8" s="26"/>
      <c r="E8" s="27">
        <v>46082</v>
      </c>
      <c r="F8" s="28">
        <v>46085</v>
      </c>
      <c r="G8" s="23"/>
      <c r="H8" s="23">
        <f t="shared" si="4"/>
        <v>4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</row>
    <row r="9" spans="1:64" s="3" customFormat="1" ht="21.6" thickBot="1" x14ac:dyDescent="0.35">
      <c r="A9" s="17"/>
      <c r="B9" s="29" t="s">
        <v>10</v>
      </c>
      <c r="C9" s="30"/>
      <c r="D9" s="31">
        <v>1</v>
      </c>
      <c r="E9" s="27">
        <v>46082</v>
      </c>
      <c r="F9" s="28">
        <v>46083</v>
      </c>
      <c r="G9" s="23"/>
      <c r="H9" s="23">
        <f t="shared" si="4"/>
        <v>2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</row>
    <row r="10" spans="1:64" s="3" customFormat="1" ht="21.6" thickBot="1" x14ac:dyDescent="0.35">
      <c r="A10" s="17"/>
      <c r="B10" s="29" t="s">
        <v>11</v>
      </c>
      <c r="C10" s="30"/>
      <c r="D10" s="31">
        <v>1</v>
      </c>
      <c r="E10" s="27">
        <v>46083</v>
      </c>
      <c r="F10" s="28">
        <v>46084</v>
      </c>
      <c r="G10" s="23"/>
      <c r="H10" s="23">
        <f t="shared" si="4"/>
        <v>2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5"/>
      <c r="V10" s="65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</row>
    <row r="11" spans="1:64" s="3" customFormat="1" ht="21.6" thickBot="1" x14ac:dyDescent="0.35">
      <c r="A11" s="17"/>
      <c r="B11" s="29" t="s">
        <v>12</v>
      </c>
      <c r="C11" s="30"/>
      <c r="D11" s="31">
        <v>1</v>
      </c>
      <c r="E11" s="27">
        <v>46084</v>
      </c>
      <c r="F11" s="28">
        <v>46085</v>
      </c>
      <c r="G11" s="23"/>
      <c r="H11" s="23">
        <f t="shared" si="4"/>
        <v>2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</row>
    <row r="12" spans="1:64" s="3" customFormat="1" ht="21.6" thickBot="1" x14ac:dyDescent="0.35">
      <c r="A12" s="17"/>
      <c r="B12" s="32" t="s">
        <v>14</v>
      </c>
      <c r="C12" s="33"/>
      <c r="D12" s="34"/>
      <c r="E12" s="35">
        <v>46086</v>
      </c>
      <c r="F12" s="36">
        <v>46089</v>
      </c>
      <c r="G12" s="23"/>
      <c r="H12" s="23">
        <f t="shared" si="4"/>
        <v>4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</row>
    <row r="13" spans="1:64" s="3" customFormat="1" ht="21.6" thickBot="1" x14ac:dyDescent="0.35">
      <c r="A13" s="17"/>
      <c r="B13" s="37" t="s">
        <v>15</v>
      </c>
      <c r="C13" s="38"/>
      <c r="D13" s="39">
        <v>1</v>
      </c>
      <c r="E13" s="35">
        <v>46086</v>
      </c>
      <c r="F13" s="36">
        <v>46087</v>
      </c>
      <c r="G13" s="23"/>
      <c r="H13" s="23">
        <f t="shared" si="4"/>
        <v>2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</row>
    <row r="14" spans="1:64" s="3" customFormat="1" ht="21.6" thickBot="1" x14ac:dyDescent="0.35">
      <c r="A14" s="17"/>
      <c r="B14" s="37" t="s">
        <v>16</v>
      </c>
      <c r="C14" s="38"/>
      <c r="D14" s="39">
        <v>1</v>
      </c>
      <c r="E14" s="35">
        <v>46088</v>
      </c>
      <c r="F14" s="36">
        <v>46089</v>
      </c>
      <c r="G14" s="23"/>
      <c r="H14" s="23">
        <f t="shared" si="4"/>
        <v>2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5"/>
      <c r="V14" s="65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</row>
    <row r="15" spans="1:64" s="3" customFormat="1" ht="21.6" thickBot="1" x14ac:dyDescent="0.35">
      <c r="A15" s="17"/>
      <c r="B15" s="40" t="s">
        <v>17</v>
      </c>
      <c r="C15" s="41"/>
      <c r="D15" s="42"/>
      <c r="E15" s="43">
        <v>46090</v>
      </c>
      <c r="F15" s="44">
        <v>46097</v>
      </c>
      <c r="G15" s="23"/>
      <c r="H15" s="23">
        <f t="shared" si="4"/>
        <v>8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</row>
    <row r="16" spans="1:64" s="3" customFormat="1" ht="21.6" thickBot="1" x14ac:dyDescent="0.35">
      <c r="A16" s="17"/>
      <c r="B16" s="45" t="s">
        <v>20</v>
      </c>
      <c r="C16" s="46"/>
      <c r="D16" s="47">
        <v>1</v>
      </c>
      <c r="E16" s="43">
        <v>46090</v>
      </c>
      <c r="F16" s="44">
        <v>46092</v>
      </c>
      <c r="G16" s="23"/>
      <c r="H16" s="23">
        <f t="shared" si="4"/>
        <v>3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</row>
    <row r="17" spans="1:64" s="3" customFormat="1" ht="21.6" thickBot="1" x14ac:dyDescent="0.35">
      <c r="A17" s="17"/>
      <c r="B17" s="45" t="s">
        <v>21</v>
      </c>
      <c r="C17" s="46"/>
      <c r="D17" s="47">
        <v>1</v>
      </c>
      <c r="E17" s="43">
        <v>46093</v>
      </c>
      <c r="F17" s="44">
        <v>46095</v>
      </c>
      <c r="G17" s="23"/>
      <c r="H17" s="23">
        <f t="shared" si="4"/>
        <v>3</v>
      </c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</row>
    <row r="18" spans="1:64" s="3" customFormat="1" ht="21.6" thickBot="1" x14ac:dyDescent="0.35">
      <c r="A18" s="17"/>
      <c r="B18" s="45" t="s">
        <v>22</v>
      </c>
      <c r="C18" s="46"/>
      <c r="D18" s="47">
        <v>1</v>
      </c>
      <c r="E18" s="43">
        <v>46096</v>
      </c>
      <c r="F18" s="44">
        <v>46097</v>
      </c>
      <c r="G18" s="23"/>
      <c r="H18" s="23">
        <f t="shared" si="4"/>
        <v>2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</row>
    <row r="19" spans="1:64" s="3" customFormat="1" ht="21.6" thickBot="1" x14ac:dyDescent="0.35">
      <c r="A19" s="17"/>
      <c r="B19" s="48" t="s">
        <v>18</v>
      </c>
      <c r="C19" s="49"/>
      <c r="D19" s="50"/>
      <c r="E19" s="51">
        <v>46098</v>
      </c>
      <c r="F19" s="52">
        <v>46106</v>
      </c>
      <c r="G19" s="23"/>
      <c r="H19" s="23">
        <f t="shared" si="4"/>
        <v>9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</row>
    <row r="20" spans="1:64" s="3" customFormat="1" ht="21.6" thickBot="1" x14ac:dyDescent="0.35">
      <c r="A20" s="17"/>
      <c r="B20" s="53" t="s">
        <v>23</v>
      </c>
      <c r="C20" s="54"/>
      <c r="D20" s="55">
        <v>1</v>
      </c>
      <c r="E20" s="51">
        <v>46098</v>
      </c>
      <c r="F20" s="52">
        <v>46100</v>
      </c>
      <c r="G20" s="23"/>
      <c r="H20" s="23">
        <f t="shared" si="4"/>
        <v>3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</row>
    <row r="21" spans="1:64" s="3" customFormat="1" ht="21.6" thickBot="1" x14ac:dyDescent="0.35">
      <c r="A21" s="17"/>
      <c r="B21" s="53" t="s">
        <v>24</v>
      </c>
      <c r="C21" s="54"/>
      <c r="D21" s="55">
        <v>1</v>
      </c>
      <c r="E21" s="51">
        <v>46101</v>
      </c>
      <c r="F21" s="52">
        <v>46102</v>
      </c>
      <c r="G21" s="23"/>
      <c r="H21" s="23">
        <f t="shared" si="4"/>
        <v>2</v>
      </c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</row>
    <row r="22" spans="1:64" s="3" customFormat="1" ht="21.6" thickBot="1" x14ac:dyDescent="0.35">
      <c r="A22" s="17"/>
      <c r="B22" s="53" t="s">
        <v>25</v>
      </c>
      <c r="C22" s="54"/>
      <c r="D22" s="55">
        <v>1</v>
      </c>
      <c r="E22" s="51">
        <v>46103</v>
      </c>
      <c r="F22" s="52">
        <v>46104</v>
      </c>
      <c r="G22" s="23"/>
      <c r="H22" s="23">
        <f t="shared" si="4"/>
        <v>2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</row>
    <row r="23" spans="1:64" s="3" customFormat="1" ht="21.6" thickBot="1" x14ac:dyDescent="0.35">
      <c r="A23" s="17"/>
      <c r="B23" s="53" t="s">
        <v>26</v>
      </c>
      <c r="C23" s="54"/>
      <c r="D23" s="55">
        <v>1</v>
      </c>
      <c r="E23" s="51">
        <v>46105</v>
      </c>
      <c r="F23" s="52">
        <v>46105</v>
      </c>
      <c r="G23" s="23"/>
      <c r="H23" s="23">
        <f t="shared" si="4"/>
        <v>1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</row>
    <row r="24" spans="1:64" s="3" customFormat="1" ht="21.6" thickBot="1" x14ac:dyDescent="0.35">
      <c r="A24" s="17"/>
      <c r="B24" s="53" t="s">
        <v>27</v>
      </c>
      <c r="C24" s="54"/>
      <c r="D24" s="55">
        <v>1</v>
      </c>
      <c r="E24" s="51">
        <v>46106</v>
      </c>
      <c r="F24" s="52">
        <v>46106</v>
      </c>
      <c r="G24" s="23"/>
      <c r="H24" s="23">
        <f t="shared" si="4"/>
        <v>1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</row>
    <row r="25" spans="1:64" s="3" customFormat="1" ht="21.6" thickBot="1" x14ac:dyDescent="0.35">
      <c r="A25" s="17"/>
      <c r="B25" s="56" t="s">
        <v>19</v>
      </c>
      <c r="C25" s="57"/>
      <c r="D25" s="58"/>
      <c r="E25" s="59">
        <v>46107</v>
      </c>
      <c r="F25" s="60">
        <v>46111</v>
      </c>
      <c r="G25" s="23"/>
      <c r="H25" s="23">
        <f t="shared" si="4"/>
        <v>5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</row>
    <row r="26" spans="1:64" s="3" customFormat="1" ht="21.6" thickBot="1" x14ac:dyDescent="0.35">
      <c r="A26" s="17"/>
      <c r="B26" s="61" t="s">
        <v>28</v>
      </c>
      <c r="C26" s="62"/>
      <c r="D26" s="63">
        <v>1</v>
      </c>
      <c r="E26" s="59">
        <v>46107</v>
      </c>
      <c r="F26" s="60">
        <v>46109</v>
      </c>
      <c r="G26" s="23"/>
      <c r="H26" s="23">
        <f t="shared" si="4"/>
        <v>3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</row>
    <row r="27" spans="1:64" s="3" customFormat="1" ht="21.6" thickBot="1" x14ac:dyDescent="0.35">
      <c r="A27" s="17"/>
      <c r="B27" s="61" t="s">
        <v>29</v>
      </c>
      <c r="C27" s="62"/>
      <c r="D27" s="63">
        <v>1</v>
      </c>
      <c r="E27" s="59">
        <v>46109</v>
      </c>
      <c r="F27" s="60">
        <v>46111</v>
      </c>
      <c r="G27" s="23"/>
      <c r="H27" s="23">
        <f t="shared" si="4"/>
        <v>3</v>
      </c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</row>
    <row r="28" spans="1:64" s="3" customFormat="1" ht="21.6" thickBot="1" x14ac:dyDescent="0.35">
      <c r="A28" s="17"/>
      <c r="B28" s="18"/>
      <c r="C28" s="19"/>
      <c r="D28" s="20"/>
      <c r="E28" s="21"/>
      <c r="F28" s="22"/>
      <c r="G28" s="23"/>
      <c r="H28" s="23" t="str">
        <f t="shared" si="4"/>
        <v/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</row>
    <row r="29" spans="1:64" s="3" customFormat="1" ht="21.6" thickBot="1" x14ac:dyDescent="0.35">
      <c r="A29" s="17"/>
      <c r="B29" s="18"/>
      <c r="C29" s="19"/>
      <c r="D29" s="20"/>
      <c r="E29" s="21"/>
      <c r="F29" s="22"/>
      <c r="G29" s="23"/>
      <c r="H29" s="23" t="str">
        <f t="shared" si="4"/>
        <v/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</row>
    <row r="30" spans="1:64" x14ac:dyDescent="0.3">
      <c r="B30" t="s">
        <v>30</v>
      </c>
    </row>
  </sheetData>
  <mergeCells count="11">
    <mergeCell ref="AD4:AJ4"/>
    <mergeCell ref="AK4:AQ4"/>
    <mergeCell ref="AR4:AX4"/>
    <mergeCell ref="AY4:BE4"/>
    <mergeCell ref="BF4:BL4"/>
    <mergeCell ref="J1:AA1"/>
    <mergeCell ref="E2:F2"/>
    <mergeCell ref="E3:F3"/>
    <mergeCell ref="I4:O4"/>
    <mergeCell ref="P4:V4"/>
    <mergeCell ref="W4:AC4"/>
  </mergeCells>
  <conditionalFormatting sqref="D7:D29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{7F8BCD46-A9D8-4A0B-B6CB-DCB404214A64}</x14:id>
        </ext>
      </extLst>
    </cfRule>
  </conditionalFormatting>
  <conditionalFormatting sqref="I5:BL29">
    <cfRule type="expression" dxfId="2" priority="4">
      <formula>AND(today&gt;=I$5,today&lt;I$5+1)</formula>
    </cfRule>
  </conditionalFormatting>
  <conditionalFormatting sqref="I7:BL29">
    <cfRule type="expression" dxfId="1" priority="2">
      <formula>AND(task_start&lt;=I$5,ROUNDDOWN((task_end-task_start+1)*task_progress,0)+task_start-1&gt;=I$5)</formula>
    </cfRule>
    <cfRule type="expression" dxfId="0" priority="3" stopIfTrue="1">
      <formula>AND(task_end&gt;=I$5,task_start&lt;I$5+1)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E4" xr:uid="{9E1735E9-CC80-483C-937B-A4298DCD213A}">
      <formula1>1</formula1>
    </dataValidation>
  </dataValidations>
  <pageMargins left="0.35" right="0.35" top="0.35" bottom="0.5" header="0.3" footer="0.3"/>
  <pageSetup scale="62" fitToHeight="0" orientation="landscape" r:id="rId1"/>
  <headerFooter scaleWithDoc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8BCD46-A9D8-4A0B-B6CB-DCB404214A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Actual</vt:lpstr>
      <vt:lpstr>Planned</vt:lpstr>
      <vt:lpstr>Actual!Print_Area</vt:lpstr>
      <vt:lpstr>Planned!Print_Area</vt:lpstr>
      <vt:lpstr>Actual!Print_Titles</vt:lpstr>
      <vt:lpstr>Planned!Print_Titles</vt:lpstr>
      <vt:lpstr>Actual!task_end</vt:lpstr>
      <vt:lpstr>Planned!task_end</vt:lpstr>
      <vt:lpstr>Actual!task_progress</vt:lpstr>
      <vt:lpstr>Planned!task_progress</vt:lpstr>
      <vt:lpstr>Actual!task_start</vt:lpstr>
      <vt:lpstr>Planned!task_start</vt:lpstr>
      <vt:lpstr>Actual!today</vt:lpstr>
      <vt:lpstr>Planned!today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creator>Vertex42.com</dc:creator>
  <dc:description>© 2018-2019 Vertex42 LLC. All Rights Reserved.</dc:description>
  <cp:lastModifiedBy>Ayush Chandekar</cp:lastModifiedBy>
  <cp:lastPrinted>2019-04-24T14:39:40Z</cp:lastPrinted>
  <dcterms:created xsi:type="dcterms:W3CDTF">2017-01-09T18:01:51Z</dcterms:created>
  <dcterms:modified xsi:type="dcterms:W3CDTF">2026-04-19T10:06:36Z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